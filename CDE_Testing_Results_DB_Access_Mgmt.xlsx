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DE - Test of O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<sst xmlns="http://schemas.openxmlformats.org/spreadsheetml/2006/main" count="66" uniqueCount="59">
  <si>
    <t xml:space="preserve">Audit</t>
  </si>
  <si>
    <t xml:space="preserve">Database Access Management Audit — FY26 (DBAM-FY26)</t>
  </si>
  <si>
    <t xml:space="preserve">Control</t>
  </si>
  <si>
    <t xml:space="preserve">CO2.0 Database Privileged Access Management</t>
  </si>
  <si>
    <t xml:space="preserve">Phase</t>
  </si>
  <si>
    <t xml:space="preserve">Control Design Effectiveness (CDE) — Process Walkthrough + Test of One</t>
  </si>
  <si>
    <t xml:space="preserve">Auditor</t>
  </si>
  <si>
    <t xml:space="preserve">Ananya Aithal</t>
  </si>
  <si>
    <t xml:space="preserve">Walkthrough</t>
  </si>
  <si>
    <t xml:space="preserve">4 March 2026 (MS Teams; transcript + Copilot recap on file)</t>
  </si>
  <si>
    <t xml:space="preserve">Prepared</t>
  </si>
  <si>
    <t xml:space="preserve">9 March 2026</t>
  </si>
  <si>
    <t xml:space="preserve">Ref</t>
  </si>
  <si>
    <t xml:space="preserve">Test Step / Attribute</t>
  </si>
  <si>
    <t xml:space="preserve">Procedure Performed</t>
  </si>
  <si>
    <t xml:space="preserve">Evidence Reviewed</t>
  </si>
  <si>
    <t xml:space="preserve">Observation</t>
  </si>
  <si>
    <t xml:space="preserve">Result</t>
  </si>
  <si>
    <t xml:space="preserve">D1</t>
  </si>
  <si>
    <t xml:space="preserve">Approval workflow design</t>
  </si>
  <si>
    <t xml:space="preserve">Walkthrough of the ServiceNow request/approval flow; inspected workflow configuration.</t>
  </si>
  <si>
    <t xml:space="preserve">PAM Onboarding Standard (TIP v3.2); ServiceNow workflow export</t>
  </si>
  <si>
    <t xml:space="preserve">Multi-step approval (line manager, DBA team lead, control owner) is configured and enforced.</t>
  </si>
  <si>
    <t xml:space="preserve">Effective</t>
  </si>
  <si>
    <t xml:space="preserve">D2</t>
  </si>
  <si>
    <t xml:space="preserve">Vaulting requirement</t>
  </si>
  <si>
    <t xml:space="preserve">Inspected CyberArk onboarding standard and platform coverage.</t>
  </si>
  <si>
    <t xml:space="preserve">TIP v3.2; CyberArk platform list</t>
  </si>
  <si>
    <t xml:space="preserve">Onboarding defined for Oracle, MSSQL, DB2, PostgreSQL, AWS/Azure managed DBs. MongoDB not integrated with CyberArk discovery.</t>
  </si>
  <si>
    <t xml:space="preserve">Gap</t>
  </si>
  <si>
    <t xml:space="preserve">D3</t>
  </si>
  <si>
    <t xml:space="preserve">Segregation of duties</t>
  </si>
  <si>
    <t xml:space="preserve">Assessed whether the approval workflow enforces SoD for same-team requests.</t>
  </si>
  <si>
    <t xml:space="preserve">ServiceNow workflow export</t>
  </si>
  <si>
    <t xml:space="preserve">No same-team SoD check in the approval workflow; reliance on post-hoc session monitoring.</t>
  </si>
  <si>
    <t xml:space="preserve">D4</t>
  </si>
  <si>
    <t xml:space="preserve">Access recertification</t>
  </si>
  <si>
    <t xml:space="preserve">Reviewed recertification standard and frequency by account type.</t>
  </si>
  <si>
    <t xml:space="preserve">IAM Recertification Procedure</t>
  </si>
  <si>
    <t xml:space="preserve">Quarterly recertification defined for application accounts; no consistent periodic recertification for DBA personal accounts.</t>
  </si>
  <si>
    <t xml:space="preserve">D5</t>
  </si>
  <si>
    <t xml:space="preserve">Revocation on leaver/contract-end</t>
  </si>
  <si>
    <t xml:space="preserve">Walkthrough of revocation trigger and SLA.</t>
  </si>
  <si>
    <t xml:space="preserve">TIP v3.2</t>
  </si>
  <si>
    <t xml:space="preserve">Revocation is manual (no automated HR trigger); 5-business-day SLA defined.</t>
  </si>
  <si>
    <t xml:space="preserve">Partially effective</t>
  </si>
  <si>
    <t xml:space="preserve">D6</t>
  </si>
  <si>
    <t xml:space="preserve">Database Activity Monitoring design</t>
  </si>
  <si>
    <t xml:space="preserve">Reviewed Imperva DAM architecture and policy design.</t>
  </si>
  <si>
    <t xml:space="preserve">DAM Architecture Note; Imperva policy config</t>
  </si>
  <si>
    <t xml:space="preserve">Light agents on DB hosts feed DAM gateways; Data Risk Analytics baselines access; native logs retained for forensics.</t>
  </si>
  <si>
    <t xml:space="preserve">ToO</t>
  </si>
  <si>
    <t xml:space="preserve">Test of One — new privileged grant</t>
  </si>
  <si>
    <t xml:space="preserve">Selected one new privileged grant (SR-2026-01187) and validated approval chain and vault entry.</t>
  </si>
  <si>
    <t xml:space="preserve">SR-2026-01187; CyberArk vault entry</t>
  </si>
  <si>
    <t xml:space="preserve">Full approval chain present; credential vaulted; session recording enabled. No design exception on the sampled item.</t>
  </si>
  <si>
    <t xml:space="preserve">Summary</t>
  </si>
  <si>
    <t xml:space="preserve">CDE Conclusion</t>
  </si>
  <si>
    <t xml:space="preserve">Well designed with gaps. The core design — approval workflow, CyberArk vaulting, session recording and Imperva DAM — is sound. Design gaps: MongoDB not integrated with CyberArk discovery (D2), no same-team SoD check (D3), and no consistent periodic recertification for DBA accounts (D4). These are improvement areas rather than fundamental design failures.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</si>
</sst>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A6B6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6B62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6B62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32"/>
    <col collapsed="false" customWidth="true" hidden="false" outlineLevel="0" max="5" min="5" style="0" width="46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8" customFormat="false" ht="15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</row>
    <row r="9" customFormat="false" ht="23.85" hidden="false" customHeight="false" outlineLevel="0" collapsed="false">
      <c r="A9" s="4" t="s">
        <v>18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</row>
    <row r="10" customFormat="false" ht="35.05" hidden="false" customHeight="false" outlineLevel="0" collapsed="false">
      <c r="A10" s="4" t="s">
        <v>24</v>
      </c>
      <c r="B10" s="4" t="s">
        <v>25</v>
      </c>
      <c r="C10" s="4" t="s">
        <v>26</v>
      </c>
      <c r="D10" s="4" t="s">
        <v>27</v>
      </c>
      <c r="E10" s="4" t="s">
        <v>28</v>
      </c>
      <c r="F10" s="4" t="s">
        <v>29</v>
      </c>
    </row>
    <row r="11" customFormat="false" ht="23.8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  <c r="E11" s="4" t="s">
        <v>34</v>
      </c>
      <c r="F11" s="4" t="s">
        <v>29</v>
      </c>
    </row>
    <row r="12" customFormat="false" ht="35.05" hidden="false" customHeight="false" outlineLevel="0" collapsed="false">
      <c r="A12" s="4" t="s">
        <v>35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29</v>
      </c>
    </row>
    <row r="13" customFormat="false" ht="23.85" hidden="false" customHeight="false" outlineLevel="0" collapsed="false">
      <c r="A13" s="4" t="s">
        <v>40</v>
      </c>
      <c r="B13" s="4" t="s">
        <v>41</v>
      </c>
      <c r="C13" s="4" t="s">
        <v>42</v>
      </c>
      <c r="D13" s="4" t="s">
        <v>43</v>
      </c>
      <c r="E13" s="4" t="s">
        <v>44</v>
      </c>
      <c r="F13" s="4" t="s">
        <v>45</v>
      </c>
    </row>
    <row r="14" customFormat="false" ht="35.05" hidden="false" customHeight="false" outlineLevel="0" collapsed="false">
      <c r="A14" s="4" t="s">
        <v>46</v>
      </c>
      <c r="B14" s="4" t="s">
        <v>47</v>
      </c>
      <c r="C14" s="4" t="s">
        <v>48</v>
      </c>
      <c r="D14" s="4" t="s">
        <v>49</v>
      </c>
      <c r="E14" s="4" t="s">
        <v>50</v>
      </c>
      <c r="F14" s="4" t="s">
        <v>23</v>
      </c>
    </row>
    <row r="15" customFormat="false" ht="35.05" hidden="false" customHeight="false" outlineLevel="0" collapsed="false">
      <c r="A15" s="4" t="s">
        <v>51</v>
      </c>
      <c r="B15" s="4" t="s">
        <v>52</v>
      </c>
      <c r="C15" s="4" t="s">
        <v>53</v>
      </c>
      <c r="D15" s="4" t="s">
        <v>54</v>
      </c>
      <c r="E15" s="4" t="s">
        <v>55</v>
      </c>
      <c r="F15" s="4" t="s">
        <v>23</v>
      </c>
    </row>
    <row r="17" customFormat="false" ht="15" hidden="false" customHeight="false" outlineLevel="0" collapsed="false">
      <c r="A17" s="1" t="s">
        <v>56</v>
      </c>
    </row>
    <row r="18" customFormat="false" ht="15" hidden="false" customHeight="false" outlineLevel="0" collapsed="false">
      <c r="A18" s="2" t="s">
        <v>23</v>
      </c>
      <c r="B18" s="2" t="n">
        <f aca="false">COUNTIF(F9:F15,"Effective")</f>
        <v>3</v>
      </c>
    </row>
    <row r="19" customFormat="false" ht="15" hidden="false" customHeight="false" outlineLevel="0" collapsed="false">
      <c r="A19" s="2" t="s">
        <v>45</v>
      </c>
      <c r="B19" s="2" t="n">
        <f aca="false">COUNTIF(F9:F15,"Partially effective")</f>
        <v>1</v>
      </c>
    </row>
    <row r="20" customFormat="false" ht="15" hidden="false" customHeight="false" outlineLevel="0" collapsed="false">
      <c r="A20" s="2" t="s">
        <v>29</v>
      </c>
      <c r="B20" s="2" t="n">
        <f aca="false">COUNTIF(F9:F15,"Gap")</f>
        <v>3</v>
      </c>
    </row>
    <row r="22" customFormat="false" ht="15" hidden="false" customHeight="false" outlineLevel="0" collapsed="false">
      <c r="A22" s="5" t="s">
        <v>57</v>
      </c>
    </row>
    <row r="23" customFormat="false" ht="60" hidden="false" customHeight="true" outlineLevel="0" collapsed="false">
      <c r="A23" s="6" t="s">
        <v>58</v>
      </c>
      <c r="B23" s="6"/>
      <c r="C23" s="6"/>
      <c r="D23" s="6"/>
      <c r="E23" s="6"/>
      <c r="F23" s="6"/>
    </row>
  </sheetData>
  <mergeCells count="1"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2026-07-07T05:41:06Z</dcterms:created>
  <dc:creator>openpyxl</dc:creator>
  <dc:description/>
  <dc:language>en-US</dc:language>
  <cp:lastModifiedBy/>
  <dcterms:modified xsi:type="dcterms:W3CDTF">2026-07-07T05:41:06Z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