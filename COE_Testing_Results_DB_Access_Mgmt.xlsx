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E - Test Steps" sheetId="1" state="visible" r:id="rId3"/>
    <sheet name="Sample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<sst xmlns="http://schemas.openxmlformats.org/spreadsheetml/2006/main" count="297" uniqueCount="121">
  <si>
    <t xml:space="preserve">Audit</t>
  </si>
  <si>
    <t xml:space="preserve">Database Access Management Audit — FY26 (DBAM-FY26)</t>
  </si>
  <si>
    <t xml:space="preserve">Control</t>
  </si>
  <si>
    <t xml:space="preserve">CO2.0 Database Privileged Access Management</t>
  </si>
  <si>
    <t xml:space="preserve">Phase</t>
  </si>
  <si>
    <t xml:space="preserve">Control Operating Effectiveness (COE) — GIA sampling methodology</t>
  </si>
  <si>
    <t xml:space="preserve">Population / Period</t>
  </si>
  <si>
    <t xml:space="preserve">Privileged access events, Oct 2025 – Mar 2026</t>
  </si>
  <si>
    <t xml:space="preserve">Sample</t>
  </si>
  <si>
    <t xml:space="preserve">25 events: 10 new grants, 8 modifications, 5 revocations, 2 break-glass</t>
  </si>
  <si>
    <t xml:space="preserve">Auditor</t>
  </si>
  <si>
    <t xml:space="preserve">Ananya Aithal / Haidi Chen (DA)</t>
  </si>
  <si>
    <t xml:space="preserve">Ref</t>
  </si>
  <si>
    <t xml:space="preserve">Test Step</t>
  </si>
  <si>
    <t xml:space="preserve">Attribute Tested</t>
  </si>
  <si>
    <t xml:space="preserve">Sample / Population</t>
  </si>
  <si>
    <t xml:space="preserve">Result</t>
  </si>
  <si>
    <t xml:space="preserve">Exceptions</t>
  </si>
  <si>
    <t xml:space="preserve">Evidence Reviewed</t>
  </si>
  <si>
    <t xml:space="preserve">O1</t>
  </si>
  <si>
    <t xml:space="preserve">Approval completeness — new grants</t>
  </si>
  <si>
    <t xml:space="preserve">Full multi-step approval present</t>
  </si>
  <si>
    <t xml:space="preserve">10 / 10</t>
  </si>
  <si>
    <t xml:space="preserve">Pass</t>
  </si>
  <si>
    <t xml:space="preserve">0</t>
  </si>
  <si>
    <t xml:space="preserve">ServiceNow tickets; CyberArk vault entries</t>
  </si>
  <si>
    <t xml:space="preserve">O2</t>
  </si>
  <si>
    <t xml:space="preserve">Provisioning SLA — new grants</t>
  </si>
  <si>
    <t xml:space="preserve">Provisioned within 3 business days</t>
  </si>
  <si>
    <t xml:space="preserve">ServiceNow timestamps</t>
  </si>
  <si>
    <t xml:space="preserve">O3</t>
  </si>
  <si>
    <t xml:space="preserve">Approval completeness — modifications</t>
  </si>
  <si>
    <t xml:space="preserve">Full approval; no self-approval</t>
  </si>
  <si>
    <t xml:space="preserve">7 / 8</t>
  </si>
  <si>
    <t xml:space="preserve">Exception</t>
  </si>
  <si>
    <t xml:space="preserve">1</t>
  </si>
  <si>
    <t xml:space="preserve">SR-2025-45892 (self-approved db_owner, MSSQL prod)</t>
  </si>
  <si>
    <t xml:space="preserve">O4</t>
  </si>
  <si>
    <t xml:space="preserve">Segregation of duties (same-team)</t>
  </si>
  <si>
    <t xml:space="preserve">Approver independent of requester's team</t>
  </si>
  <si>
    <t xml:space="preserve">15 / 18</t>
  </si>
  <si>
    <t xml:space="preserve">3</t>
  </si>
  <si>
    <t xml:space="preserve">ServiceNow approver vs requester analysis (16.7% self-approval)</t>
  </si>
  <si>
    <t xml:space="preserve">O5</t>
  </si>
  <si>
    <t xml:space="preserve">Revocation SLA</t>
  </si>
  <si>
    <t xml:space="preserve">Revoked within 5 business days of leaver/contract-end</t>
  </si>
  <si>
    <t xml:space="preserve">4 / 5</t>
  </si>
  <si>
    <t xml:space="preserve">Contractor revocation at 12 days (CyberArk disable log)</t>
  </si>
  <si>
    <t xml:space="preserve">O6</t>
  </si>
  <si>
    <t xml:space="preserve">Break-glass usage</t>
  </si>
  <si>
    <t xml:space="preserve">Justified and reviewed post-use</t>
  </si>
  <si>
    <t xml:space="preserve">2 / 2</t>
  </si>
  <si>
    <t xml:space="preserve">Break-glass request records</t>
  </si>
  <si>
    <t xml:space="preserve">O7</t>
  </si>
  <si>
    <t xml:space="preserve">Vaulting coverage (DA)</t>
  </si>
  <si>
    <t xml:space="preserve">Privileged accounts vaulted in CyberArk</t>
  </si>
  <si>
    <t xml:space="preserve">1,198 / 1,247 (96.1%)</t>
  </si>
  <si>
    <t xml:space="preserve">49</t>
  </si>
  <si>
    <t xml:space="preserve">EID Report vs CyberArk inventory; 49 unvaulted (31 service, 12 legacy PostgreSQL, 6 MongoDB)</t>
  </si>
  <si>
    <t xml:space="preserve">O8</t>
  </si>
  <si>
    <t xml:space="preserve">Access recertification</t>
  </si>
  <si>
    <t xml:space="preserve">Periodic recertification evidenced</t>
  </si>
  <si>
    <t xml:space="preserve">0 / 5 DBA accounts</t>
  </si>
  <si>
    <t xml:space="preserve">5</t>
  </si>
  <si>
    <t xml:space="preserve">No recertification records for sampled DBA personal accounts in period</t>
  </si>
  <si>
    <t xml:space="preserve">O9</t>
  </si>
  <si>
    <t xml:space="preserve">DAM alerting active</t>
  </si>
  <si>
    <t xml:space="preserve">Detection rules active and generating alerts</t>
  </si>
  <si>
    <t xml:space="preserve">14 / 14</t>
  </si>
  <si>
    <t xml:space="preserve">SOC detection-rule export</t>
  </si>
  <si>
    <t xml:space="preserve">Steps passed</t>
  </si>
  <si>
    <t xml:space="preserve">Steps with exceptions</t>
  </si>
  <si>
    <t xml:space="preserve">Total exceptions</t>
  </si>
  <si>
    <t xml:space="preserve">COE Conclusion</t>
  </si>
  <si>
    <t xml:space="preserve">Operating with exceptions. Provisioning, vaulting and DAM alerting largely operate as designed. Exceptions: same-team self-approval SoD gap (O3/O4), one late revocation (O5), MongoDB vaulting gap driving 3.9% unvaulted (O7), and no periodic recertification of DBA accounts in the period (O8). Recommend raising O4, O7 and O8 as findings.</t>
  </si>
  <si>
    <t xml:space="preserve">Sample #</t>
  </si>
  <si>
    <t xml:space="preserve">Event Type</t>
  </si>
  <si>
    <t xml:space="preserve">Ticket</t>
  </si>
  <si>
    <t xml:space="preserve">Platform / DB</t>
  </si>
  <si>
    <t xml:space="preserve">Approval OK</t>
  </si>
  <si>
    <t xml:space="preserve">SLA OK</t>
  </si>
  <si>
    <t xml:space="preserve">SoD OK</t>
  </si>
  <si>
    <t xml:space="preserve">Vaulted</t>
  </si>
  <si>
    <t xml:space="preserve">New grant</t>
  </si>
  <si>
    <t xml:space="preserve">SR-2025-45881</t>
  </si>
  <si>
    <t xml:space="preserve">PostgreSQL</t>
  </si>
  <si>
    <t xml:space="preserve">Y</t>
  </si>
  <si>
    <t xml:space="preserve">SR-2025-45882</t>
  </si>
  <si>
    <t xml:space="preserve">MSSQL</t>
  </si>
  <si>
    <t xml:space="preserve">SR-2025-45883</t>
  </si>
  <si>
    <t xml:space="preserve">DB2</t>
  </si>
  <si>
    <t xml:space="preserve">SR-2025-45884</t>
  </si>
  <si>
    <t xml:space="preserve">AWS RDS</t>
  </si>
  <si>
    <t xml:space="preserve">SR-2025-45885</t>
  </si>
  <si>
    <t xml:space="preserve">Oracle</t>
  </si>
  <si>
    <t xml:space="preserve">SR-2025-45886</t>
  </si>
  <si>
    <t xml:space="preserve">SR-2025-45887</t>
  </si>
  <si>
    <t xml:space="preserve">Azure SQL</t>
  </si>
  <si>
    <t xml:space="preserve">SR-2025-45888</t>
  </si>
  <si>
    <t xml:space="preserve">MongoDB</t>
  </si>
  <si>
    <t xml:space="preserve">N</t>
  </si>
  <si>
    <t xml:space="preserve">SR-2025-45889</t>
  </si>
  <si>
    <t xml:space="preserve">SR-2025-45890</t>
  </si>
  <si>
    <t xml:space="preserve">Modification</t>
  </si>
  <si>
    <t xml:space="preserve">SR-2025-45891</t>
  </si>
  <si>
    <t xml:space="preserve">SR-2025-45892</t>
  </si>
  <si>
    <t xml:space="preserve">SR-2025-45893</t>
  </si>
  <si>
    <t xml:space="preserve">SR-2025-45894</t>
  </si>
  <si>
    <t xml:space="preserve">SR-2025-45895</t>
  </si>
  <si>
    <t xml:space="preserve">SR-2025-45896</t>
  </si>
  <si>
    <t xml:space="preserve">SR-2025-45897</t>
  </si>
  <si>
    <t xml:space="preserve">SR-2025-45898</t>
  </si>
  <si>
    <t xml:space="preserve">Revocation</t>
  </si>
  <si>
    <t xml:space="preserve">SR-2025-45899</t>
  </si>
  <si>
    <t xml:space="preserve">SR-2025-45900</t>
  </si>
  <si>
    <t xml:space="preserve">SR-2025-45901</t>
  </si>
  <si>
    <t xml:space="preserve">SR-2025-45902</t>
  </si>
  <si>
    <t xml:space="preserve">SR-2025-45903</t>
  </si>
  <si>
    <t xml:space="preserve">Break-glass</t>
  </si>
  <si>
    <t xml:space="preserve">SR-2025-45904</t>
  </si>
  <si>
    <t xml:space="preserve">SR-2025-45905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</si>
</sst>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A6B6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6B6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B62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8" customFormat="false" ht="15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</row>
    <row r="9" customFormat="false" ht="23.85" hidden="false" customHeight="false" outlineLevel="0" collapsed="false">
      <c r="A9" s="4" t="s">
        <v>19</v>
      </c>
      <c r="B9" s="4" t="s">
        <v>20</v>
      </c>
      <c r="C9" s="4" t="s">
        <v>21</v>
      </c>
      <c r="D9" s="4" t="s">
        <v>22</v>
      </c>
      <c r="E9" s="4" t="s">
        <v>23</v>
      </c>
      <c r="F9" s="4" t="s">
        <v>24</v>
      </c>
      <c r="G9" s="4" t="s">
        <v>25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4" t="s">
        <v>28</v>
      </c>
      <c r="D10" s="4" t="s">
        <v>22</v>
      </c>
      <c r="E10" s="4" t="s">
        <v>23</v>
      </c>
      <c r="F10" s="4" t="s">
        <v>24</v>
      </c>
      <c r="G10" s="4" t="s">
        <v>29</v>
      </c>
    </row>
    <row r="11" customFormat="false" ht="23.8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36</v>
      </c>
    </row>
    <row r="12" customFormat="false" ht="23.85" hidden="false" customHeight="false" outlineLevel="0" collapsed="false">
      <c r="A12" s="4" t="s">
        <v>37</v>
      </c>
      <c r="B12" s="4" t="s">
        <v>38</v>
      </c>
      <c r="C12" s="4" t="s">
        <v>39</v>
      </c>
      <c r="D12" s="4" t="s">
        <v>40</v>
      </c>
      <c r="E12" s="4" t="s">
        <v>34</v>
      </c>
      <c r="F12" s="4" t="s">
        <v>41</v>
      </c>
      <c r="G12" s="4" t="s">
        <v>42</v>
      </c>
    </row>
    <row r="13" customFormat="false" ht="23.85" hidden="false" customHeight="false" outlineLevel="0" collapsed="false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34</v>
      </c>
      <c r="F13" s="4" t="s">
        <v>35</v>
      </c>
      <c r="G13" s="4" t="s">
        <v>47</v>
      </c>
    </row>
    <row r="14" customFormat="false" ht="15" hidden="false" customHeight="false" outlineLevel="0" collapsed="false">
      <c r="A14" s="4" t="s">
        <v>48</v>
      </c>
      <c r="B14" s="4" t="s">
        <v>49</v>
      </c>
      <c r="C14" s="4" t="s">
        <v>50</v>
      </c>
      <c r="D14" s="4" t="s">
        <v>51</v>
      </c>
      <c r="E14" s="4" t="s">
        <v>23</v>
      </c>
      <c r="F14" s="4" t="s">
        <v>24</v>
      </c>
      <c r="G14" s="4" t="s">
        <v>52</v>
      </c>
    </row>
    <row r="15" customFormat="false" ht="23.85" hidden="false" customHeight="false" outlineLevel="0" collapsed="false">
      <c r="A15" s="4" t="s">
        <v>53</v>
      </c>
      <c r="B15" s="4" t="s">
        <v>54</v>
      </c>
      <c r="C15" s="4" t="s">
        <v>55</v>
      </c>
      <c r="D15" s="4" t="s">
        <v>56</v>
      </c>
      <c r="E15" s="4" t="s">
        <v>34</v>
      </c>
      <c r="F15" s="4" t="s">
        <v>57</v>
      </c>
      <c r="G15" s="4" t="s">
        <v>58</v>
      </c>
    </row>
    <row r="16" customFormat="false" ht="23.85" hidden="false" customHeight="false" outlineLevel="0" collapsed="false">
      <c r="A16" s="4" t="s">
        <v>59</v>
      </c>
      <c r="B16" s="4" t="s">
        <v>60</v>
      </c>
      <c r="C16" s="4" t="s">
        <v>61</v>
      </c>
      <c r="D16" s="4" t="s">
        <v>62</v>
      </c>
      <c r="E16" s="4" t="s">
        <v>34</v>
      </c>
      <c r="F16" s="4" t="s">
        <v>63</v>
      </c>
      <c r="G16" s="4" t="s">
        <v>64</v>
      </c>
    </row>
    <row r="17" customFormat="false" ht="23.85" hidden="false" customHeight="false" outlineLevel="0" collapsed="false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23</v>
      </c>
      <c r="F17" s="4" t="s">
        <v>24</v>
      </c>
      <c r="G17" s="4" t="s">
        <v>69</v>
      </c>
    </row>
    <row r="19" customFormat="false" ht="15" hidden="false" customHeight="false" outlineLevel="0" collapsed="false">
      <c r="A19" s="1" t="s">
        <v>70</v>
      </c>
      <c r="B19" s="2" t="n">
        <f aca="false">COUNTIF(E9:E17,"Pass")</f>
        <v>4</v>
      </c>
    </row>
    <row r="20" customFormat="false" ht="15" hidden="false" customHeight="false" outlineLevel="0" collapsed="false">
      <c r="A20" s="1" t="s">
        <v>71</v>
      </c>
      <c r="B20" s="2" t="n">
        <f aca="false">COUNTIF(E9:E17,"Exception")</f>
        <v>5</v>
      </c>
    </row>
    <row r="21" customFormat="false" ht="15" hidden="false" customHeight="false" outlineLevel="0" collapsed="false">
      <c r="A21" s="1" t="s">
        <v>72</v>
      </c>
      <c r="B21" s="2" t="n">
        <f aca="false">SUM(F9:F17)</f>
        <v>0</v>
      </c>
    </row>
    <row r="23" customFormat="false" ht="15" hidden="false" customHeight="false" outlineLevel="0" collapsed="false">
      <c r="A23" s="5" t="s">
        <v>73</v>
      </c>
    </row>
    <row r="24" customFormat="false" ht="60" hidden="false" customHeight="true" outlineLevel="0" collapsed="false">
      <c r="A24" s="6" t="s">
        <v>74</v>
      </c>
      <c r="B24" s="6"/>
      <c r="C24" s="6"/>
      <c r="D24" s="6"/>
      <c r="E24" s="6"/>
      <c r="F24" s="6"/>
      <c r="G24" s="6"/>
    </row>
  </sheetData>
  <mergeCells count="1"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8" min="6" style="0" width="1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16</v>
      </c>
    </row>
    <row r="2" customFormat="false" ht="15" hidden="false" customHeight="false" outlineLevel="0" collapsed="false">
      <c r="A2" s="4" t="n">
        <v>1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86</v>
      </c>
      <c r="G2" s="4" t="s">
        <v>86</v>
      </c>
      <c r="H2" s="4" t="s">
        <v>86</v>
      </c>
      <c r="I2" s="4" t="s">
        <v>23</v>
      </c>
    </row>
    <row r="3" customFormat="false" ht="15" hidden="false" customHeight="false" outlineLevel="0" collapsed="false">
      <c r="A3" s="4" t="n">
        <v>2</v>
      </c>
      <c r="B3" s="4" t="s">
        <v>83</v>
      </c>
      <c r="C3" s="4" t="s">
        <v>87</v>
      </c>
      <c r="D3" s="4" t="s">
        <v>88</v>
      </c>
      <c r="E3" s="4" t="s">
        <v>86</v>
      </c>
      <c r="F3" s="4" t="s">
        <v>86</v>
      </c>
      <c r="G3" s="4" t="s">
        <v>86</v>
      </c>
      <c r="H3" s="4" t="s">
        <v>86</v>
      </c>
      <c r="I3" s="4" t="s">
        <v>23</v>
      </c>
    </row>
    <row r="4" customFormat="false" ht="15" hidden="false" customHeight="false" outlineLevel="0" collapsed="false">
      <c r="A4" s="4" t="n">
        <v>3</v>
      </c>
      <c r="B4" s="4" t="s">
        <v>83</v>
      </c>
      <c r="C4" s="4" t="s">
        <v>89</v>
      </c>
      <c r="D4" s="4" t="s">
        <v>90</v>
      </c>
      <c r="E4" s="4" t="s">
        <v>86</v>
      </c>
      <c r="F4" s="4" t="s">
        <v>86</v>
      </c>
      <c r="G4" s="4" t="s">
        <v>86</v>
      </c>
      <c r="H4" s="4" t="s">
        <v>86</v>
      </c>
      <c r="I4" s="4" t="s">
        <v>23</v>
      </c>
    </row>
    <row r="5" customFormat="false" ht="15" hidden="false" customHeight="false" outlineLevel="0" collapsed="false">
      <c r="A5" s="4" t="n">
        <v>4</v>
      </c>
      <c r="B5" s="4" t="s">
        <v>83</v>
      </c>
      <c r="C5" s="4" t="s">
        <v>91</v>
      </c>
      <c r="D5" s="4" t="s">
        <v>92</v>
      </c>
      <c r="E5" s="4" t="s">
        <v>86</v>
      </c>
      <c r="F5" s="4" t="s">
        <v>86</v>
      </c>
      <c r="G5" s="4" t="s">
        <v>86</v>
      </c>
      <c r="H5" s="4" t="s">
        <v>86</v>
      </c>
      <c r="I5" s="4" t="s">
        <v>23</v>
      </c>
    </row>
    <row r="6" customFormat="false" ht="15" hidden="false" customHeight="false" outlineLevel="0" collapsed="false">
      <c r="A6" s="4" t="n">
        <v>5</v>
      </c>
      <c r="B6" s="4" t="s">
        <v>83</v>
      </c>
      <c r="C6" s="4" t="s">
        <v>93</v>
      </c>
      <c r="D6" s="4" t="s">
        <v>94</v>
      </c>
      <c r="E6" s="4" t="s">
        <v>86</v>
      </c>
      <c r="F6" s="4" t="s">
        <v>86</v>
      </c>
      <c r="G6" s="4" t="s">
        <v>86</v>
      </c>
      <c r="H6" s="4" t="s">
        <v>86</v>
      </c>
      <c r="I6" s="4" t="s">
        <v>23</v>
      </c>
    </row>
    <row r="7" customFormat="false" ht="15" hidden="false" customHeight="false" outlineLevel="0" collapsed="false">
      <c r="A7" s="4" t="n">
        <v>6</v>
      </c>
      <c r="B7" s="4" t="s">
        <v>83</v>
      </c>
      <c r="C7" s="4" t="s">
        <v>95</v>
      </c>
      <c r="D7" s="4" t="s">
        <v>94</v>
      </c>
      <c r="E7" s="4" t="s">
        <v>86</v>
      </c>
      <c r="F7" s="4" t="s">
        <v>86</v>
      </c>
      <c r="G7" s="4" t="s">
        <v>86</v>
      </c>
      <c r="H7" s="4" t="s">
        <v>86</v>
      </c>
      <c r="I7" s="4" t="s">
        <v>23</v>
      </c>
    </row>
    <row r="8" customFormat="false" ht="15" hidden="false" customHeight="false" outlineLevel="0" collapsed="false">
      <c r="A8" s="4" t="n">
        <v>7</v>
      </c>
      <c r="B8" s="4" t="s">
        <v>83</v>
      </c>
      <c r="C8" s="4" t="s">
        <v>96</v>
      </c>
      <c r="D8" s="4" t="s">
        <v>97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23</v>
      </c>
    </row>
    <row r="9" customFormat="false" ht="15" hidden="false" customHeight="false" outlineLevel="0" collapsed="false">
      <c r="A9" s="4" t="n">
        <v>8</v>
      </c>
      <c r="B9" s="4" t="s">
        <v>83</v>
      </c>
      <c r="C9" s="4" t="s">
        <v>98</v>
      </c>
      <c r="D9" s="4" t="s">
        <v>99</v>
      </c>
      <c r="E9" s="4" t="s">
        <v>86</v>
      </c>
      <c r="F9" s="4" t="s">
        <v>86</v>
      </c>
      <c r="G9" s="4" t="s">
        <v>86</v>
      </c>
      <c r="H9" s="4" t="s">
        <v>100</v>
      </c>
      <c r="I9" s="4" t="s">
        <v>34</v>
      </c>
    </row>
    <row r="10" customFormat="false" ht="15" hidden="false" customHeight="false" outlineLevel="0" collapsed="false">
      <c r="A10" s="4" t="n">
        <v>9</v>
      </c>
      <c r="B10" s="4" t="s">
        <v>83</v>
      </c>
      <c r="C10" s="4" t="s">
        <v>101</v>
      </c>
      <c r="D10" s="4" t="s">
        <v>94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23</v>
      </c>
    </row>
    <row r="11" customFormat="false" ht="15" hidden="false" customHeight="false" outlineLevel="0" collapsed="false">
      <c r="A11" s="4" t="n">
        <v>10</v>
      </c>
      <c r="B11" s="4" t="s">
        <v>83</v>
      </c>
      <c r="C11" s="4" t="s">
        <v>102</v>
      </c>
      <c r="D11" s="4" t="s">
        <v>85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23</v>
      </c>
    </row>
    <row r="12" customFormat="false" ht="15" hidden="false" customHeight="false" outlineLevel="0" collapsed="false">
      <c r="A12" s="4" t="n">
        <v>11</v>
      </c>
      <c r="B12" s="4" t="s">
        <v>103</v>
      </c>
      <c r="C12" s="4" t="s">
        <v>104</v>
      </c>
      <c r="D12" s="4" t="s">
        <v>99</v>
      </c>
      <c r="E12" s="4" t="s">
        <v>86</v>
      </c>
      <c r="F12" s="4" t="s">
        <v>86</v>
      </c>
      <c r="G12" s="4" t="s">
        <v>86</v>
      </c>
      <c r="H12" s="4" t="s">
        <v>100</v>
      </c>
      <c r="I12" s="4" t="s">
        <v>34</v>
      </c>
    </row>
    <row r="13" customFormat="false" ht="15" hidden="false" customHeight="false" outlineLevel="0" collapsed="false">
      <c r="A13" s="4" t="n">
        <v>12</v>
      </c>
      <c r="B13" s="4" t="s">
        <v>103</v>
      </c>
      <c r="C13" s="4" t="s">
        <v>105</v>
      </c>
      <c r="D13" s="4" t="s">
        <v>94</v>
      </c>
      <c r="E13" s="4" t="s">
        <v>86</v>
      </c>
      <c r="F13" s="4" t="s">
        <v>86</v>
      </c>
      <c r="G13" s="4" t="s">
        <v>100</v>
      </c>
      <c r="H13" s="4" t="s">
        <v>86</v>
      </c>
      <c r="I13" s="4" t="s">
        <v>34</v>
      </c>
    </row>
    <row r="14" customFormat="false" ht="15" hidden="false" customHeight="false" outlineLevel="0" collapsed="false">
      <c r="A14" s="4" t="n">
        <v>13</v>
      </c>
      <c r="B14" s="4" t="s">
        <v>103</v>
      </c>
      <c r="C14" s="4" t="s">
        <v>106</v>
      </c>
      <c r="D14" s="4" t="s">
        <v>99</v>
      </c>
      <c r="E14" s="4" t="s">
        <v>86</v>
      </c>
      <c r="F14" s="4" t="s">
        <v>86</v>
      </c>
      <c r="G14" s="4" t="s">
        <v>100</v>
      </c>
      <c r="H14" s="4" t="s">
        <v>100</v>
      </c>
      <c r="I14" s="4" t="s">
        <v>34</v>
      </c>
    </row>
    <row r="15" customFormat="false" ht="15" hidden="false" customHeight="false" outlineLevel="0" collapsed="false">
      <c r="A15" s="4" t="n">
        <v>14</v>
      </c>
      <c r="B15" s="4" t="s">
        <v>103</v>
      </c>
      <c r="C15" s="4" t="s">
        <v>107</v>
      </c>
      <c r="D15" s="4" t="s">
        <v>88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23</v>
      </c>
    </row>
    <row r="16" customFormat="false" ht="15" hidden="false" customHeight="false" outlineLevel="0" collapsed="false">
      <c r="A16" s="4" t="n">
        <v>15</v>
      </c>
      <c r="B16" s="4" t="s">
        <v>103</v>
      </c>
      <c r="C16" s="4" t="s">
        <v>108</v>
      </c>
      <c r="D16" s="4" t="s">
        <v>94</v>
      </c>
      <c r="E16" s="4" t="s">
        <v>86</v>
      </c>
      <c r="F16" s="4" t="s">
        <v>86</v>
      </c>
      <c r="G16" s="4" t="s">
        <v>100</v>
      </c>
      <c r="H16" s="4" t="s">
        <v>86</v>
      </c>
      <c r="I16" s="4" t="s">
        <v>34</v>
      </c>
    </row>
    <row r="17" customFormat="false" ht="15" hidden="false" customHeight="false" outlineLevel="0" collapsed="false">
      <c r="A17" s="4" t="n">
        <v>16</v>
      </c>
      <c r="B17" s="4" t="s">
        <v>103</v>
      </c>
      <c r="C17" s="4" t="s">
        <v>109</v>
      </c>
      <c r="D17" s="4" t="s">
        <v>94</v>
      </c>
      <c r="E17" s="4" t="s">
        <v>86</v>
      </c>
      <c r="F17" s="4" t="s">
        <v>86</v>
      </c>
      <c r="G17" s="4" t="s">
        <v>86</v>
      </c>
      <c r="H17" s="4" t="s">
        <v>86</v>
      </c>
      <c r="I17" s="4" t="s">
        <v>23</v>
      </c>
    </row>
    <row r="18" customFormat="false" ht="15" hidden="false" customHeight="false" outlineLevel="0" collapsed="false">
      <c r="A18" s="4" t="n">
        <v>17</v>
      </c>
      <c r="B18" s="4" t="s">
        <v>103</v>
      </c>
      <c r="C18" s="4" t="s">
        <v>110</v>
      </c>
      <c r="D18" s="4" t="s">
        <v>90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23</v>
      </c>
    </row>
    <row r="19" customFormat="false" ht="15" hidden="false" customHeight="false" outlineLevel="0" collapsed="false">
      <c r="A19" s="4" t="n">
        <v>18</v>
      </c>
      <c r="B19" s="4" t="s">
        <v>103</v>
      </c>
      <c r="C19" s="4" t="s">
        <v>111</v>
      </c>
      <c r="D19" s="4" t="s">
        <v>90</v>
      </c>
      <c r="E19" s="4" t="s">
        <v>86</v>
      </c>
      <c r="F19" s="4" t="s">
        <v>86</v>
      </c>
      <c r="G19" s="4" t="s">
        <v>86</v>
      </c>
      <c r="H19" s="4" t="s">
        <v>86</v>
      </c>
      <c r="I19" s="4" t="s">
        <v>23</v>
      </c>
    </row>
    <row r="20" customFormat="false" ht="15" hidden="false" customHeight="false" outlineLevel="0" collapsed="false">
      <c r="A20" s="4" t="n">
        <v>19</v>
      </c>
      <c r="B20" s="4" t="s">
        <v>112</v>
      </c>
      <c r="C20" s="4" t="s">
        <v>113</v>
      </c>
      <c r="D20" s="4" t="s">
        <v>94</v>
      </c>
      <c r="E20" s="4" t="s">
        <v>86</v>
      </c>
      <c r="F20" s="4" t="s">
        <v>86</v>
      </c>
      <c r="G20" s="4" t="s">
        <v>86</v>
      </c>
      <c r="H20" s="4" t="s">
        <v>86</v>
      </c>
      <c r="I20" s="4" t="s">
        <v>23</v>
      </c>
    </row>
    <row r="21" customFormat="false" ht="15" hidden="false" customHeight="false" outlineLevel="0" collapsed="false">
      <c r="A21" s="4" t="n">
        <v>20</v>
      </c>
      <c r="B21" s="4" t="s">
        <v>112</v>
      </c>
      <c r="C21" s="4" t="s">
        <v>114</v>
      </c>
      <c r="D21" s="4" t="s">
        <v>88</v>
      </c>
      <c r="E21" s="4" t="s">
        <v>86</v>
      </c>
      <c r="F21" s="4" t="s">
        <v>100</v>
      </c>
      <c r="G21" s="4" t="s">
        <v>86</v>
      </c>
      <c r="H21" s="4" t="s">
        <v>86</v>
      </c>
      <c r="I21" s="4" t="s">
        <v>34</v>
      </c>
    </row>
    <row r="22" customFormat="false" ht="15" hidden="false" customHeight="false" outlineLevel="0" collapsed="false">
      <c r="A22" s="4" t="n">
        <v>21</v>
      </c>
      <c r="B22" s="4" t="s">
        <v>112</v>
      </c>
      <c r="C22" s="4" t="s">
        <v>115</v>
      </c>
      <c r="D22" s="4" t="s">
        <v>94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23</v>
      </c>
    </row>
    <row r="23" customFormat="false" ht="15" hidden="false" customHeight="false" outlineLevel="0" collapsed="false">
      <c r="A23" s="4" t="n">
        <v>22</v>
      </c>
      <c r="B23" s="4" t="s">
        <v>112</v>
      </c>
      <c r="C23" s="4" t="s">
        <v>116</v>
      </c>
      <c r="D23" s="4" t="s">
        <v>99</v>
      </c>
      <c r="E23" s="4" t="s">
        <v>86</v>
      </c>
      <c r="F23" s="4" t="s">
        <v>86</v>
      </c>
      <c r="G23" s="4" t="s">
        <v>86</v>
      </c>
      <c r="H23" s="4" t="s">
        <v>100</v>
      </c>
      <c r="I23" s="4" t="s">
        <v>34</v>
      </c>
    </row>
    <row r="24" customFormat="false" ht="15" hidden="false" customHeight="false" outlineLevel="0" collapsed="false">
      <c r="A24" s="4" t="n">
        <v>23</v>
      </c>
      <c r="B24" s="4" t="s">
        <v>112</v>
      </c>
      <c r="C24" s="4" t="s">
        <v>117</v>
      </c>
      <c r="D24" s="4" t="s">
        <v>90</v>
      </c>
      <c r="E24" s="4" t="s">
        <v>86</v>
      </c>
      <c r="F24" s="4" t="s">
        <v>86</v>
      </c>
      <c r="G24" s="4" t="s">
        <v>86</v>
      </c>
      <c r="H24" s="4" t="s">
        <v>86</v>
      </c>
      <c r="I24" s="4" t="s">
        <v>23</v>
      </c>
    </row>
    <row r="25" customFormat="false" ht="15" hidden="false" customHeight="false" outlineLevel="0" collapsed="false">
      <c r="A25" s="4" t="n">
        <v>24</v>
      </c>
      <c r="B25" s="4" t="s">
        <v>118</v>
      </c>
      <c r="C25" s="4" t="s">
        <v>119</v>
      </c>
      <c r="D25" s="4" t="s">
        <v>94</v>
      </c>
      <c r="E25" s="4" t="s">
        <v>86</v>
      </c>
      <c r="F25" s="4" t="s">
        <v>86</v>
      </c>
      <c r="G25" s="4" t="s">
        <v>86</v>
      </c>
      <c r="H25" s="4" t="s">
        <v>86</v>
      </c>
      <c r="I25" s="4" t="s">
        <v>23</v>
      </c>
    </row>
    <row r="26" customFormat="false" ht="15" hidden="false" customHeight="false" outlineLevel="0" collapsed="false">
      <c r="A26" s="4" t="n">
        <v>25</v>
      </c>
      <c r="B26" s="4" t="s">
        <v>118</v>
      </c>
      <c r="C26" s="4" t="s">
        <v>120</v>
      </c>
      <c r="D26" s="4" t="s">
        <v>97</v>
      </c>
      <c r="E26" s="4" t="s">
        <v>86</v>
      </c>
      <c r="F26" s="4" t="s">
        <v>86</v>
      </c>
      <c r="G26" s="4" t="s">
        <v>86</v>
      </c>
      <c r="H26" s="4" t="s">
        <v>86</v>
      </c>
      <c r="I26" s="4" t="s">
        <v>23</v>
      </c>
    </row>
    <row r="28" customFormat="false" ht="15" hidden="false" customHeight="false" outlineLevel="0" collapsed="false">
      <c r="A28" s="1" t="s">
        <v>17</v>
      </c>
      <c r="B28" s="2" t="n">
        <f aca="false">COUNTIF(I2:I26,"Exception")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2026-07-07T05:41:06Z</dcterms:created>
  <dc:creator>openpyxl</dc:creator>
  <dc:description/>
  <dc:language>en-US</dc:language>
  <cp:lastModifiedBy/>
  <dcterms:modified xsi:type="dcterms:W3CDTF">2026-07-07T05:41:06Z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